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a889c6e86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4a_heatmap" sheetId="1" r:id="R671c2736eb784a75"/>
    <x:sheet xmlns:r="http://schemas.openxmlformats.org/officeDocument/2006/relationships" name="Fig4b_contrasts" sheetId="2" r:id="R1686219a160841f0"/>
    <x:sheet xmlns:r="http://schemas.openxmlformats.org/officeDocument/2006/relationships" name="Fig4c_provenance" sheetId="3" r:id="Rde294bc6583c429f"/>
    <x:sheet xmlns:r="http://schemas.openxmlformats.org/officeDocument/2006/relationships" name="Fig4d_proximity" sheetId="4" r:id="R665b7b621ae146ed"/>
    <x:sheet xmlns:r="http://schemas.openxmlformats.org/officeDocument/2006/relationships" name="Fig4e_PreTKcat" sheetId="5" r:id="R04196494286d4e64"/>
    <x:sheet xmlns:r="http://schemas.openxmlformats.org/officeDocument/2006/relationships" name="README" sheetId="6" r:id="R42d928001027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4768948ba42d1" /><Relationship Type="http://schemas.openxmlformats.org/officeDocument/2006/relationships/theme" Target="/xl/theme/theme1.xml" Id="Ra80cb890b54a48a2" /><Relationship Type="http://schemas.openxmlformats.org/officeDocument/2006/relationships/sharedStrings" Target="/xl/sharedStrings.xml" Id="R8eb8f679245243e5" /><Relationship Type="http://schemas.openxmlformats.org/officeDocument/2006/relationships/worksheet" Target="/xl/worksheets/sheet1.xml" Id="R671c2736eb784a75" /><Relationship Type="http://schemas.openxmlformats.org/officeDocument/2006/relationships/worksheet" Target="/xl/worksheets/sheet2.xml" Id="R1686219a160841f0" /><Relationship Type="http://schemas.openxmlformats.org/officeDocument/2006/relationships/worksheet" Target="/xl/worksheets/sheet3.xml" Id="Rde294bc6583c429f" /><Relationship Type="http://schemas.openxmlformats.org/officeDocument/2006/relationships/worksheet" Target="/xl/worksheets/sheet4.xml" Id="R665b7b621ae146ed" /><Relationship Type="http://schemas.openxmlformats.org/officeDocument/2006/relationships/worksheet" Target="/xl/worksheets/sheet5.xml" Id="R04196494286d4e64" /><Relationship Type="http://schemas.openxmlformats.org/officeDocument/2006/relationships/worksheet" Target="/xl/worksheets/sheet6.xml" Id="R42d92800102749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</x:cols>
  <x:sheetData>
    <x:row r="1">
      <x:c r="A1" s="3" t="str">
        <x:v>Figure 4a plotting data: heatmap of MAE across species, evidence source and substrate role.</x:v>
      </x:c>
      <x:c r="B1" s="3"/>
      <x:c r="C1" s="3"/>
      <x:c r="D1" s="3"/>
      <x:c r="E1" s="3"/>
      <x:c r="F1" s="3"/>
      <x:c r="G1" s="3"/>
      <x:c r="H1" s="3"/>
    </x:row>
    <x:row r="3">
      <x:c r="A3" s="14" t="str">
        <x:v>method</x:v>
      </x:c>
      <x:c r="B3" s="14" t="str">
        <x:v>species_ecoli</x:v>
      </x:c>
      <x:c r="C3" s="14" t="str">
        <x:v>species_yeast</x:v>
      </x:c>
      <x:c r="D3" s="14" t="str">
        <x:v>source_BRENDA_only</x:v>
      </x:c>
      <x:c r="E3" s="14" t="str">
        <x:v>source_SABIO_RK_only</x:v>
      </x:c>
      <x:c r="F3" s="14" t="str">
        <x:v>source_BRENDA_plus_SABIO_RK</x:v>
      </x:c>
      <x:c r="G3" s="14" t="str">
        <x:v>role_other_reactant</x:v>
      </x:c>
      <x:c r="H3" s="14" t="str">
        <x:v>role_currency_cofactor</x:v>
      </x:c>
    </x:row>
    <x:row r="4">
      <x:c r="A4" s="15" t="str">
        <x:v>KcatNet</x:v>
      </x:c>
      <x:c r="B4" s="15" t="n">
        <x:v>0.7874619534512627</x:v>
      </x:c>
      <x:c r="C4" s="15" t="n">
        <x:v>0.5829749793039222</x:v>
      </x:c>
      <x:c r="D4" s="15" t="n">
        <x:v>0.7240748005325901</x:v>
      </x:c>
      <x:c r="E4" s="15" t="n">
        <x:v>0.6829700989441633</x:v>
      </x:c>
      <x:c r="F4" s="15" t="n">
        <x:v>0.7570321867316917</x:v>
      </x:c>
      <x:c r="G4" s="15" t="n">
        <x:v>0.7135373976304625</x:v>
      </x:c>
      <x:c r="H4" s="15" t="n">
        <x:v>0.7485000515446372</x:v>
      </x:c>
    </x:row>
    <x:row r="5">
      <x:c r="A5" s="15" t="str">
        <x:v>CataPro</x:v>
      </x:c>
      <x:c r="B5" s="15" t="n">
        <x:v>0.850446536627363</x:v>
      </x:c>
      <x:c r="C5" s="15" t="n">
        <x:v>0.7048422619871686</x:v>
      </x:c>
      <x:c r="D5" s="15" t="n">
        <x:v>0.8192090991882103</x:v>
      </x:c>
      <x:c r="E5" s="15" t="n">
        <x:v>0.7639308082033793</x:v>
      </x:c>
      <x:c r="F5" s="15" t="n">
        <x:v>0.7885355466922965</x:v>
      </x:c>
      <x:c r="G5" s="15" t="n">
        <x:v>0.8040155776931774</x:v>
      </x:c>
      <x:c r="H5" s="15" t="n">
        <x:v>0.8319779193623065</x:v>
      </x:c>
    </x:row>
    <x:row r="6">
      <x:c r="A6" s="15" t="str">
        <x:v>TurNuP</x:v>
      </x:c>
      <x:c r="B6" s="15" t="n">
        <x:v>0.7365811250722071</x:v>
      </x:c>
      <x:c r="C6" s="15" t="n">
        <x:v>0.6576431398178914</x:v>
      </x:c>
      <x:c r="D6" s="15" t="n">
        <x:v>0.6621914011648351</x:v>
      </x:c>
      <x:c r="E6" s="15" t="n">
        <x:v>0.7602563991545894</x:v>
      </x:c>
      <x:c r="F6" s="15" t="n">
        <x:v>0.8067841699421966</x:v>
      </x:c>
      <x:c r="G6" s="15" t="n">
        <x:v>0.6634280177523147</x:v>
      </x:c>
      <x:c r="H6" s="15" t="n">
        <x:v>0.6976768876797753</x:v>
      </x:c>
    </x:row>
    <x:row r="7">
      <x:c r="A7" s="15" t="str">
        <x:v>PMAK</x:v>
      </x:c>
      <x:c r="B7" s="15" t="n">
        <x:v>0.7484983129316075</x:v>
      </x:c>
      <x:c r="C7" s="15" t="n">
        <x:v>0.6635620043003194</x:v>
      </x:c>
      <x:c r="D7" s="15" t="n">
        <x:v>0.722535800325641</x:v>
      </x:c>
      <x:c r="E7" s="15" t="n">
        <x:v>0.7114829647826086</x:v>
      </x:c>
      <x:c r="F7" s="15" t="n">
        <x:v>0.7820019755256331</x:v>
      </x:c>
      <x:c r="G7" s="15" t="n">
        <x:v>0.7205579125412037</x:v>
      </x:c>
      <x:c r="H7" s="15" t="n">
        <x:v>0.7438362103932584</x:v>
      </x:c>
    </x:row>
    <x:row r="8">
      <x:c r="A8" s="15" t="str">
        <x:v>KinForm-L</x:v>
      </x:c>
      <x:c r="B8" s="15" t="n">
        <x:v>0.7569499271648732</x:v>
      </x:c>
      <x:c r="C8" s="15" t="n">
        <x:v>0.8405760632855386</x:v>
      </x:c>
      <x:c r="D8" s="15" t="n">
        <x:v>0.8037123832711474</x:v>
      </x:c>
      <x:c r="E8" s="15" t="n">
        <x:v>0.795138055369686</x:v>
      </x:c>
      <x:c r="F8" s="15" t="n">
        <x:v>0.605473511978255</x:v>
      </x:c>
      <x:c r="G8" s="15" t="n">
        <x:v>0.8041418241186467</x:v>
      </x:c>
      <x:c r="H8" s="15" t="n">
        <x:v>0.7053494769481075</x:v>
      </x:c>
    </x:row>
    <x:row r="9">
      <x:c r="A9" s="15" t="str">
        <x:v>CatPred</x:v>
      </x:c>
      <x:c r="B9" s="15" t="n">
        <x:v>0.8734964485506409</x:v>
      </x:c>
      <x:c r="C9" s="15" t="n">
        <x:v>0.7755112541175009</x:v>
      </x:c>
      <x:c r="D9" s="15" t="n">
        <x:v>0.8082367095181022</x:v>
      </x:c>
      <x:c r="E9" s="15" t="n">
        <x:v>0.8860220064589894</x:v>
      </x:c>
      <x:c r="F9" s="15" t="n">
        <x:v>0.8792396291337303</x:v>
      </x:c>
      <x:c r="G9" s="15" t="n">
        <x:v>0.8400116124644105</x:v>
      </x:c>
      <x:c r="H9" s="15" t="n">
        <x:v>0.7635211825287218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30" hidden="0" customWidth="1"/>
    <x:col min="5" max="5" width="25" hidden="0" customWidth="1"/>
    <x:col min="6" max="6" width="28" hidden="0" customWidth="1"/>
    <x:col min="7" max="7" width="32" hidden="0" customWidth="1"/>
  </x:cols>
  <x:sheetData>
    <x:row r="1">
      <x:c r="A1" s="3" t="str">
        <x:v>Figure 4b plotting data: source and substrate-role MAE contrasts.</x:v>
      </x:c>
      <x:c r="B1" s="3"/>
      <x:c r="C1" s="3"/>
      <x:c r="D1" s="3"/>
      <x:c r="E1" s="3"/>
      <x:c r="F1" s="3"/>
      <x:c r="G1" s="3"/>
    </x:row>
    <x:row r="3">
      <x:c r="A3" s="14" t="str">
        <x:v>method</x:v>
      </x:c>
      <x:c r="B3" s="14" t="str">
        <x:v>BRENDA_only_MAE_log10</x:v>
      </x:c>
      <x:c r="C3" s="14" t="str">
        <x:v>SABIO_RK_only_MAE_log10</x:v>
      </x:c>
      <x:c r="D3" s="14" t="str">
        <x:v>source_contrast_BRENDA_minus_SABIO</x:v>
      </x:c>
      <x:c r="E3" s="14" t="str">
        <x:v>other_reactant_MAE_log10</x:v>
      </x:c>
      <x:c r="F3" s="14" t="str">
        <x:v>currency_cofactor_MAE_log10</x:v>
      </x:c>
      <x:c r="G3" s="14" t="str">
        <x:v>substrate_contrast_other_minus_currency</x:v>
      </x:c>
    </x:row>
    <x:row r="4">
      <x:c r="A4" s="15" t="str">
        <x:v>KcatNet</x:v>
      </x:c>
      <x:c r="B4" s="15" t="n">
        <x:v>0.7240748005325901</x:v>
      </x:c>
      <x:c r="C4" s="15" t="n">
        <x:v>0.6829700989441633</x:v>
      </x:c>
      <x:c r="D4" s="15" t="n">
        <x:f>B4-C4</x:f>
        <x:v>0.04110470158842683</x:v>
      </x:c>
      <x:c r="E4" s="15" t="n">
        <x:v>0.7135373976304625</x:v>
      </x:c>
      <x:c r="F4" s="15" t="n">
        <x:v>0.7485000515446372</x:v>
      </x:c>
      <x:c r="G4" s="15" t="n">
        <x:f>E4-F4</x:f>
        <x:v>-0.034962653914174635</x:v>
      </x:c>
    </x:row>
    <x:row r="5">
      <x:c r="A5" s="15" t="str">
        <x:v>CataPro</x:v>
      </x:c>
      <x:c r="B5" s="15" t="n">
        <x:v>0.8192090991882103</x:v>
      </x:c>
      <x:c r="C5" s="15" t="n">
        <x:v>0.7639308082033793</x:v>
      </x:c>
      <x:c r="D5" s="15" t="n">
        <x:f>B5-C5</x:f>
        <x:v>0.05527829098483095</x:v>
      </x:c>
      <x:c r="E5" s="15" t="n">
        <x:v>0.8040155776931774</x:v>
      </x:c>
      <x:c r="F5" s="15" t="n">
        <x:v>0.8319779193623065</x:v>
      </x:c>
      <x:c r="G5" s="15" t="n">
        <x:f>E5-F5</x:f>
        <x:v>-0.02796234166912903</x:v>
      </x:c>
    </x:row>
    <x:row r="6">
      <x:c r="A6" s="15" t="str">
        <x:v>TurNuP</x:v>
      </x:c>
      <x:c r="B6" s="15" t="n">
        <x:v>0.6621914011648351</x:v>
      </x:c>
      <x:c r="C6" s="15" t="n">
        <x:v>0.7602563991545894</x:v>
      </x:c>
      <x:c r="D6" s="15" t="n">
        <x:f>B6-C6</x:f>
        <x:v>-0.09806499798975432</x:v>
      </x:c>
      <x:c r="E6" s="15" t="n">
        <x:v>0.6634280177523147</x:v>
      </x:c>
      <x:c r="F6" s="15" t="n">
        <x:v>0.6976768876797753</x:v>
      </x:c>
      <x:c r="G6" s="15" t="n">
        <x:f>E6-F6</x:f>
        <x:v>-0.03424886992746057</x:v>
      </x:c>
    </x:row>
    <x:row r="7">
      <x:c r="A7" s="15" t="str">
        <x:v>PMAK</x:v>
      </x:c>
      <x:c r="B7" s="15" t="n">
        <x:v>0.722535800325641</x:v>
      </x:c>
      <x:c r="C7" s="15" t="n">
        <x:v>0.7114829647826086</x:v>
      </x:c>
      <x:c r="D7" s="15" t="n">
        <x:f>B7-C7</x:f>
        <x:v>0.01105283554303238</x:v>
      </x:c>
      <x:c r="E7" s="15" t="n">
        <x:v>0.7205579125412037</x:v>
      </x:c>
      <x:c r="F7" s="15" t="n">
        <x:v>0.7438362103932584</x:v>
      </x:c>
      <x:c r="G7" s="15" t="n">
        <x:f>E7-F7</x:f>
        <x:v>-0.023278297852054708</x:v>
      </x:c>
    </x:row>
    <x:row r="8">
      <x:c r="A8" s="15" t="str">
        <x:v>KinForm-L</x:v>
      </x:c>
      <x:c r="B8" s="15" t="n">
        <x:v>0.8037123832711474</x:v>
      </x:c>
      <x:c r="C8" s="15" t="n">
        <x:v>0.795138055369686</x:v>
      </x:c>
      <x:c r="D8" s="15" t="n">
        <x:f>B8-C8</x:f>
        <x:v>0.008574327901461398</x:v>
      </x:c>
      <x:c r="E8" s="15" t="n">
        <x:v>0.8041418241186467</x:v>
      </x:c>
      <x:c r="F8" s="15" t="n">
        <x:v>0.7053494769481075</x:v>
      </x:c>
      <x:c r="G8" s="15" t="n">
        <x:f>E8-F8</x:f>
        <x:v>0.0987923471705392</x:v>
      </x:c>
    </x:row>
    <x:row r="9">
      <x:c r="A9" s="15" t="str">
        <x:v>CatPred</x:v>
      </x:c>
      <x:c r="B9" s="15" t="n">
        <x:v>0.8082367095181022</x:v>
      </x:c>
      <x:c r="C9" s="15" t="n">
        <x:v>0.8860220064589894</x:v>
      </x:c>
      <x:c r="D9" s="15" t="n">
        <x:f>B9-C9</x:f>
        <x:v>-0.0777852969408872</x:v>
      </x:c>
      <x:c r="E9" s="15" t="n">
        <x:v>0.8400116124644105</x:v>
      </x:c>
      <x:c r="F9" s="15" t="n">
        <x:v>0.7635211825287218</x:v>
      </x:c>
      <x:c r="G9" s="15" t="n">
        <x:f>E9-F9</x:f>
        <x:v>0.07649042993568866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0" hidden="0" customWidth="1"/>
    <x:col min="4" max="4" width="30" hidden="0" customWidth="1"/>
  </x:cols>
  <x:sheetData>
    <x:row r="1">
      <x:c r="A1" s="3" t="str">
        <x:v>Figure 4c plotting data: experimental-label variability and source provenance.</x:v>
      </x:c>
      <x:c r="B1" s="3"/>
      <x:c r="C1" s="3"/>
      <x:c r="D1" s="3"/>
    </x:row>
    <x:row r="3">
      <x:c r="A3" s="14" t="str">
        <x:v>section</x:v>
      </x:c>
      <x:c r="B3" s="14" t="str">
        <x:v>metric</x:v>
      </x:c>
      <x:c r="C3" s="14" t="str">
        <x:v>value</x:v>
      </x:c>
      <x:c r="D3" s="14" t="str">
        <x:v>unit_or_note</x:v>
      </x:c>
    </x:row>
    <x:row r="4">
      <x:c r="A4" s="15" t="str">
        <x:v>within_record_dispersion</x:v>
      </x:c>
      <x:c r="B4" s="15" t="str">
        <x:v>records_with_ge_2_measurements</x:v>
      </x:c>
      <x:c r="C4" s="15" t="n">
        <x:v>655</x:v>
      </x:c>
      <x:c r="D4" s="15" t="str">
        <x:v>records</x:v>
      </x:c>
    </x:row>
    <x:row r="5">
      <x:c r="A5" s="15" t="str">
        <x:v>within_record_dispersion</x:v>
      </x:c>
      <x:c r="B5" s="15" t="str">
        <x:v>benchmark_denominator</x:v>
      </x:c>
      <x:c r="C5" s="15" t="n">
        <x:v>1246</x:v>
      </x:c>
      <x:c r="D5" s="15" t="str">
        <x:v>records</x:v>
      </x:c>
    </x:row>
    <x:row r="6">
      <x:c r="A6" s="15" t="str">
        <x:v>within_record_dispersion</x:v>
      </x:c>
      <x:c r="B6" s="15" t="str">
        <x:v>median_dispersion_log10</x:v>
      </x:c>
      <x:c r="C6" s="15" t="n">
        <x:v>0.1755983025648556</x:v>
      </x:c>
      <x:c r="D6" s="15" t="str">
        <x:v>log10(kcat)</x:v>
      </x:c>
    </x:row>
    <x:row r="7">
      <x:c r="A7" s="15" t="str">
        <x:v>within_record_dispersion</x:v>
      </x:c>
      <x:c r="B7" s="15" t="str">
        <x:v>mean_dispersion_log10</x:v>
      </x:c>
      <x:c r="C7" s="15" t="n">
        <x:v>0.4191892469154742</x:v>
      </x:c>
      <x:c r="D7" s="15" t="str">
        <x:v>log10(kcat)</x:v>
      </x:c>
    </x:row>
    <x:row r="8">
      <x:c r="A8" s="15" t="str">
        <x:v>cross_database_difference</x:v>
      </x:c>
      <x:c r="B8" s="15" t="str">
        <x:v>records_supported_by_both_databases</x:v>
      </x:c>
      <x:c r="C8" s="15" t="n">
        <x:v>95</x:v>
      </x:c>
      <x:c r="D8" s="15" t="str">
        <x:v>records</x:v>
      </x:c>
    </x:row>
    <x:row r="9">
      <x:c r="A9" s="15" t="str">
        <x:v>cross_database_difference</x:v>
      </x:c>
      <x:c r="B9" s="15" t="str">
        <x:v>median_abs_database_difference_log10</x:v>
      </x:c>
      <x:c r="C9" s="15" t="n">
        <x:v>0.3204133402322353</x:v>
      </x:c>
      <x:c r="D9" s="15" t="str">
        <x:v>log10(kcat)</x:v>
      </x:c>
    </x:row>
    <x:row r="10">
      <x:c r="A10" s="15" t="str">
        <x:v>BRENDA_provenance</x:v>
      </x:c>
      <x:c r="B10" s="15" t="str">
        <x:v>raw_candidates</x:v>
      </x:c>
      <x:c r="C10" s="15" t="n">
        <x:v>6390</x:v>
      </x:c>
      <x:c r="D10" s="15" t="str">
        <x:v>records</x:v>
      </x:c>
    </x:row>
    <x:row r="11">
      <x:c r="A11" s="15" t="str">
        <x:v>BRENDA_provenance</x:v>
      </x:c>
      <x:c r="B11" s="15" t="str">
        <x:v>excluded_by_mutation_variant_screen</x:v>
      </x:c>
      <x:c r="C11" s="15" t="n">
        <x:v>3361</x:v>
      </x:c>
      <x:c r="D11" s="15" t="str">
        <x:v>records</x:v>
      </x:c>
    </x:row>
    <x:row r="12">
      <x:c r="A12" s="15" t="str">
        <x:v>BRENDA_provenance</x:v>
      </x:c>
      <x:c r="B12" s="15" t="str">
        <x:v>retained_after_screen</x:v>
      </x:c>
      <x:c r="C12" s="15" t="n">
        <x:v>3029</x:v>
      </x:c>
      <x:c r="D12" s="15" t="str">
        <x:v>records</x:v>
      </x:c>
    </x:row>
    <x:row r="13">
      <x:c r="A13" s="15" t="str">
        <x:v>SABIO_RK_provenance</x:v>
      </x:c>
      <x:c r="B13" s="15" t="str">
        <x:v>raw_candidates</x:v>
      </x:c>
      <x:c r="C13" s="15" t="n">
        <x:v>660</x:v>
      </x:c>
      <x:c r="D13" s="15" t="str">
        <x:v>records</x:v>
      </x:c>
    </x:row>
    <x:row r="14">
      <x:c r="A14" s="15" t="str">
        <x:v>SABIO_RK_provenance</x:v>
      </x:c>
      <x:c r="B14" s="15" t="str">
        <x:v>retained_after_screen</x:v>
      </x:c>
      <x:c r="C14" s="15" t="n">
        <x:v>660</x:v>
      </x:c>
      <x:c r="D14" s="15" t="str">
        <x:v>records</x:v>
      </x:c>
    </x:row>
    <x:row r="15">
      <x:c r="A15" s="15" t="str">
        <x:v>SABIO_RK_provenance</x:v>
      </x:c>
      <x:c r="B15" s="15" t="str">
        <x:v>mutation_status_field_available</x:v>
      </x:c>
      <x:c r="C15" s="15" t="n">
        <x:v>0</x:v>
      </x:c>
      <x:c r="D15" s="15" t="str">
        <x:v>0 = unavailable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14" hidden="0" customWidth="1"/>
    <x:col min="5" max="5" width="16" hidden="0" customWidth="1"/>
    <x:col min="6" max="6" width="22" hidden="0" customWidth="1"/>
    <x:col min="7" max="7" width="24" hidden="0" customWidth="1"/>
    <x:col min="8" max="8" width="27" hidden="0" customWidth="1"/>
    <x:col min="9" max="9" width="23" hidden="0" customWidth="1"/>
    <x:col min="10" max="10" width="27" hidden="0" customWidth="1"/>
  </x:cols>
  <x:sheetData>
    <x:row r="1">
      <x:c r="A1" s="3" t="str">
        <x:v>Figure 4d plotting data: performance across public training-corpus proximity strata.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4" t="str">
        <x:v>method</x:v>
      </x:c>
      <x:c r="B3" s="14" t="str">
        <x:v>audit_strength</x:v>
      </x:c>
      <x:c r="C3" s="14" t="str">
        <x:v>evaluated_n</x:v>
      </x:c>
      <x:c r="D3" s="14" t="str">
        <x:v>audited_n</x:v>
      </x:c>
      <x:c r="E3" s="14" t="str">
        <x:v>exact_pair_n</x:v>
      </x:c>
      <x:c r="F3" s="14" t="str">
        <x:v>exact_pair_MAE_log10</x:v>
      </x:c>
      <x:c r="G3" s="14" t="str">
        <x:v>joint_near_neighbor_n</x:v>
      </x:c>
      <x:c r="H3" s="14" t="str">
        <x:v>joint_near_neighbor_MAE_log10</x:v>
      </x:c>
      <x:c r="I3" s="14" t="str">
        <x:v>no_joint_neighbor_n</x:v>
      </x:c>
      <x:c r="J3" s="14" t="str">
        <x:v>no_joint_neighbor_MAE_log10</x:v>
      </x:c>
    </x:row>
    <x:row r="4">
      <x:c r="A4" s="15" t="str">
        <x:v>KcatNet</x:v>
      </x:c>
      <x:c r="B4" s="15" t="str">
        <x:v>direct fit-split audit</x:v>
      </x:c>
      <x:c r="C4" s="15" t="n">
        <x:v>1246</x:v>
      </x:c>
      <x:c r="D4" s="15" t="n">
        <x:v>1246</x:v>
      </x:c>
      <x:c r="E4" s="15" t="n">
        <x:v>102</x:v>
      </x:c>
      <x:c r="F4" s="15" t="n">
        <x:v>0.3077867342940288</x:v>
      </x:c>
      <x:c r="G4" s="15" t="n">
        <x:v>96</x:v>
      </x:c>
      <x:c r="H4" s="15" t="n">
        <x:v>0.6388772904034505</x:v>
      </x:c>
      <x:c r="I4" s="15" t="n">
        <x:v>1048</x:v>
      </x:c>
      <x:c r="J4" s="15" t="n">
        <x:v>0.7570273704628223</x:v>
      </x:c>
    </x:row>
    <x:row r="5">
      <x:c r="A5" s="15" t="str">
        <x:v>CataPro</x:v>
      </x:c>
      <x:c r="B5" s="15" t="str">
        <x:v>source/fold-union proximity only</x:v>
      </x:c>
      <x:c r="C5" s="15" t="n">
        <x:v>1246</x:v>
      </x:c>
      <x:c r="D5" s="15" t="n">
        <x:v>1246</x:v>
      </x:c>
      <x:c r="E5" s="15" t="n">
        <x:v>390</x:v>
      </x:c>
      <x:c r="F5" s="15" t="n">
        <x:v>0.719017710256572</x:v>
      </x:c>
      <x:c r="G5" s="15" t="n">
        <x:v>31</x:v>
      </x:c>
      <x:c r="H5" s="15" t="n">
        <x:v>0.8009711420390221</x:v>
      </x:c>
      <x:c r="I5" s="15" t="n">
        <x:v>825</x:v>
      </x:c>
      <x:c r="J5" s="15" t="n">
        <x:v>0.83236773882028</x:v>
      </x:c>
    </x:row>
    <x:row r="6">
      <x:c r="A6" s="15" t="str">
        <x:v>PreTKcat</x:v>
      </x:c>
      <x:c r="B6" s="15" t="str">
        <x:v>direct retraining-corpus audit</x:v>
      </x:c>
      <x:c r="C6" s="15" t="n">
        <x:v>1246</x:v>
      </x:c>
      <x:c r="D6" s="15" t="n">
        <x:v>1246</x:v>
      </x:c>
      <x:c r="E6" s="15" t="n">
        <x:v>0</x:v>
      </x:c>
      <x:c r="F6" s="15" t="str"/>
      <x:c r="G6" s="15" t="n">
        <x:v>99</x:v>
      </x:c>
      <x:c r="H6" s="15" t="n">
        <x:v>0.8048688679315115</x:v>
      </x:c>
      <x:c r="I6" s="15" t="n">
        <x:v>1147</x:v>
      </x:c>
      <x:c r="J6" s="15" t="n">
        <x:v>0.9328402909172672</x:v>
      </x:c>
    </x:row>
    <x:row r="7">
      <x:c r="A7" s="15" t="str">
        <x:v>UniKP</x:v>
      </x:c>
      <x:c r="B7" s="15" t="str">
        <x:v>source-corpus proximity only</x:v>
      </x:c>
      <x:c r="C7" s="15" t="n">
        <x:v>1246</x:v>
      </x:c>
      <x:c r="D7" s="15" t="n">
        <x:v>1246</x:v>
      </x:c>
      <x:c r="E7" s="15" t="n">
        <x:v>288</x:v>
      </x:c>
      <x:c r="F7" s="15" t="n">
        <x:v>0.7454729798361206</x:v>
      </x:c>
      <x:c r="G7" s="15" t="n">
        <x:v>50</x:v>
      </x:c>
      <x:c r="H7" s="15" t="n">
        <x:v>0.9135500647196636</x:v>
      </x:c>
      <x:c r="I7" s="15" t="n">
        <x:v>908</x:v>
      </x:c>
      <x:c r="J7" s="15" t="n">
        <x:v>0.936990344728912</x:v>
      </x:c>
    </x:row>
    <x:row r="8">
      <x:c r="A8" s="15" t="str">
        <x:v>DLKcat</x:v>
      </x:c>
      <x:c r="B8" s="15" t="str">
        <x:v>source-corpus proximity only</x:v>
      </x:c>
      <x:c r="C8" s="15" t="n">
        <x:v>1246</x:v>
      </x:c>
      <x:c r="D8" s="15" t="n">
        <x:v>1246</x:v>
      </x:c>
      <x:c r="E8" s="15" t="n">
        <x:v>288</x:v>
      </x:c>
      <x:c r="F8" s="15" t="n">
        <x:v>0.6798506534076993</x:v>
      </x:c>
      <x:c r="G8" s="15" t="n">
        <x:v>50</x:v>
      </x:c>
      <x:c r="H8" s="15" t="n">
        <x:v>0.8796620119623825</x:v>
      </x:c>
      <x:c r="I8" s="15" t="n">
        <x:v>908</x:v>
      </x:c>
      <x:c r="J8" s="15" t="n">
        <x:v>1.072311107460811</x:v>
      </x:c>
    </x:row>
    <x:row r="9">
      <x:c r="A9" s="15" t="str">
        <x:v>PMAK</x:v>
      </x:c>
      <x:c r="B9" s="15" t="str">
        <x:v>released-fold union audit</x:v>
      </x:c>
      <x:c r="C9" s="15" t="n">
        <x:v>1047</x:v>
      </x:c>
      <x:c r="D9" s="15" t="n">
        <x:v>1047</x:v>
      </x:c>
      <x:c r="E9" s="15" t="n">
        <x:v>91</x:v>
      </x:c>
      <x:c r="F9" s="15" t="n">
        <x:v>0.4767062120417582</x:v>
      </x:c>
      <x:c r="G9" s="15" t="n">
        <x:v>98</x:v>
      </x:c>
      <x:c r="H9" s="15" t="n">
        <x:v>0.4882115272448978</x:v>
      </x:c>
      <x:c r="I9" s="15" t="n">
        <x:v>858</x:v>
      </x:c>
      <x:c r="J9" s="15" t="n">
        <x:v>0.7760695502004661</x:v>
      </x:c>
    </x:row>
    <x:row r="10">
      <x:c r="A10" s="15" t="str">
        <x:v>KinForm-L</x:v>
      </x:c>
      <x:c r="B10" s="15" t="str">
        <x:v>direct fit-corpus audit</x:v>
      </x:c>
      <x:c r="C10" s="15" t="n">
        <x:v>729</x:v>
      </x:c>
      <x:c r="D10" s="15" t="n">
        <x:v>729</x:v>
      </x:c>
      <x:c r="E10" s="15" t="n">
        <x:v>381</x:v>
      </x:c>
      <x:c r="F10" s="15" t="n">
        <x:v>0.6824221454365165</x:v>
      </x:c>
      <x:c r="G10" s="15" t="n">
        <x:v>40</x:v>
      </x:c>
      <x:c r="H10" s="15" t="n">
        <x:v>0.9028011339234044</x:v>
      </x:c>
      <x:c r="I10" s="15" t="n">
        <x:v>308</x:v>
      </x:c>
      <x:c r="J10" s="15" t="n">
        <x:v>0.894548728556952</x:v>
      </x:c>
    </x:row>
    <x:row r="11">
      <x:c r="A11" s="15" t="str">
        <x:v>CatPred</x:v>
      </x:c>
      <x:c r="B11" s="15" t="str">
        <x:v>production-corpus proximity only</x:v>
      </x:c>
      <x:c r="C11" s="15" t="n">
        <x:v>1156</x:v>
      </x:c>
      <x:c r="D11" s="15" t="n">
        <x:v>1156</x:v>
      </x:c>
      <x:c r="E11" s="15" t="n">
        <x:v>520</x:v>
      </x:c>
      <x:c r="F11" s="15" t="n">
        <x:v>0.7613235624303156</x:v>
      </x:c>
      <x:c r="G11" s="15" t="n">
        <x:v>28</x:v>
      </x:c>
      <x:c r="H11" s="15" t="n">
        <x:v>0.9471049142813972</x:v>
      </x:c>
      <x:c r="I11" s="15" t="n">
        <x:v>608</x:v>
      </x:c>
      <x:c r="J11" s="15" t="n">
        <x:v>0.9014188182454088</x:v>
      </x:c>
    </x:row>
    <x:row r="12">
      <x:c r="A12" s="15" t="str">
        <x:v>DEKP-public-retrained</x:v>
      </x:c>
      <x:c r="B12" s="15" t="str">
        <x:v>direct retraining-corpus audit</x:v>
      </x:c>
      <x:c r="C12" s="15" t="n">
        <x:v>1246</x:v>
      </x:c>
      <x:c r="D12" s="15" t="n">
        <x:v>1246</x:v>
      </x:c>
      <x:c r="E12" s="15" t="n">
        <x:v>0</x:v>
      </x:c>
      <x:c r="F12" s="15" t="str"/>
      <x:c r="G12" s="15" t="n">
        <x:v>157</x:v>
      </x:c>
      <x:c r="H12" s="15" t="n">
        <x:v>1.128987199100207</x:v>
      </x:c>
      <x:c r="I12" s="15" t="n">
        <x:v>1089</x:v>
      </x:c>
      <x:c r="J12" s="15" t="n">
        <x:v>1.06051550702769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24" hidden="0" customWidth="1"/>
    <x:col min="5" max="5" width="24" hidden="0" customWidth="1"/>
    <x:col min="6" max="6" width="22" hidden="0" customWidth="1"/>
    <x:col min="7" max="7" width="20" hidden="0" customWidth="1"/>
    <x:col min="8" max="8" width="16" hidden="0" customWidth="1"/>
    <x:col min="9" max="9" width="16" hidden="0" customWidth="1"/>
    <x:col min="10" max="10" width="20" hidden="0" customWidth="1"/>
  </x:cols>
  <x:sheetData>
    <x:row r="1">
      <x:c r="A1" s="3" t="str">
        <x:v>Figure 4e plotting data: PreTKcat sensitivity to training-corpus exclusion.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4" t="str">
        <x:v>variant</x:v>
      </x:c>
      <x:c r="B3" s="14" t="str">
        <x:v>manuscript_role</x:v>
      </x:c>
      <x:c r="C3" s="14" t="str">
        <x:v>raw_usable_training_n</x:v>
      </x:c>
      <x:c r="D3" s="14" t="str">
        <x:v>removed_exact_pair_rows</x:v>
      </x:c>
      <x:c r="E3" s="14" t="str">
        <x:v>removed_near_only_rows</x:v>
      </x:c>
      <x:c r="F3" s="14" t="str">
        <x:v>removed_total_rows</x:v>
      </x:c>
      <x:c r="G3" s="14" t="str">
        <x:v>fitted_training_n</x:v>
      </x:c>
      <x:c r="H3" s="14" t="str">
        <x:v>evaluation_n</x:v>
      </x:c>
      <x:c r="I3" s="14" t="str">
        <x:v>MAE_log10</x:v>
      </x:c>
      <x:c r="J3" s="14" t="str">
        <x:v>Spearman_log10</x:v>
      </x:c>
    </x:row>
    <x:row r="4">
      <x:c r="A4" s="15" t="str">
        <x:v>raw-public</x:v>
      </x:c>
      <x:c r="B4" s="15" t="str">
        <x:v>sensitivity analysis</x:v>
      </x:c>
      <x:c r="C4" s="15" t="n">
        <x:v>16249</x:v>
      </x:c>
      <x:c r="D4" s="15" t="n">
        <x:v>0</x:v>
      </x:c>
      <x:c r="E4" s="15" t="n">
        <x:v>0</x:v>
      </x:c>
      <x:c r="F4" s="15" t="n">
        <x:v>0</x:v>
      </x:c>
      <x:c r="G4" s="15" t="n">
        <x:v>16249</x:v>
      </x:c>
      <x:c r="H4" s="15" t="n">
        <x:v>1246</x:v>
      </x:c>
      <x:c r="I4" s="15" t="n">
        <x:v>0.8647651087492261</x:v>
      </x:c>
      <x:c r="J4" s="15" t="n">
        <x:v>0.3999900683507713</x:v>
      </x:c>
    </x:row>
    <x:row r="5">
      <x:c r="A5" s="15" t="str">
        <x:v>exact-excluded</x:v>
      </x:c>
      <x:c r="B5" s="15" t="str">
        <x:v>primary PreTKcat result</x:v>
      </x:c>
      <x:c r="C5" s="15" t="n">
        <x:v>16249</x:v>
      </x:c>
      <x:c r="D5" s="15" t="n">
        <x:v>248</x:v>
      </x:c>
      <x:c r="E5" s="15" t="n">
        <x:v>0</x:v>
      </x:c>
      <x:c r="F5" s="15" t="n">
        <x:v>248</x:v>
      </x:c>
      <x:c r="G5" s="15" t="n">
        <x:v>16001</x:v>
      </x:c>
      <x:c r="H5" s="15" t="n">
        <x:v>1246</x:v>
      </x:c>
      <x:c r="I5" s="15" t="n">
        <x:v>0.9226724170203252</x:v>
      </x:c>
      <x:c r="J5" s="15" t="n">
        <x:v>0.3924269939296601</x:v>
      </x:c>
    </x:row>
    <x:row r="6">
      <x:c r="A6" s="15" t="str">
        <x:v>near-excluded</x:v>
      </x:c>
      <x:c r="B6" s="15" t="str">
        <x:v>sensitivity analysis</x:v>
      </x:c>
      <x:c r="C6" s="15" t="n">
        <x:v>16249</x:v>
      </x:c>
      <x:c r="D6" s="15" t="n">
        <x:v>248</x:v>
      </x:c>
      <x:c r="E6" s="15" t="n">
        <x:v>508</x:v>
      </x:c>
      <x:c r="F6" s="15" t="n">
        <x:v>756</x:v>
      </x:c>
      <x:c r="G6" s="15" t="n">
        <x:v>15493</x:v>
      </x:c>
      <x:c r="H6" s="15" t="n">
        <x:v>1246</x:v>
      </x:c>
      <x:c r="I6" s="15" t="n">
        <x:v>0.9500316250372062</x:v>
      </x:c>
      <x:c r="J6" s="15" t="n">
        <x:v>0.3623666373720944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14" t="str">
        <x:v>Item</x:v>
      </x:c>
      <x:c r="B1" s="14" t="str">
        <x:v>Description</x:v>
      </x:c>
    </x:row>
    <x:row r="2">
      <x:c r="A2" s="15" t="str">
        <x:v>Update</x:v>
      </x:c>
      <x:c r="B2" s="15" t="str">
        <x:v>Version 2: Figure 4a updated from a two-axis comparison plot to a heatmap.</x:v>
      </x:c>
    </x:row>
    <x:row r="3">
      <x:c r="A3" s="15" t="str">
        <x:v>Figure 4a</x:v>
      </x:c>
      <x:c r="B3" s="15" t="str">
        <x:v>Rows = methods; columns grouped into Species, Evidence source and Substrate role. Values are MAE on the log10(kcat) scale.</x:v>
      </x:c>
    </x:row>
    <x:row r="4">
      <x:c r="A4" s="15" t="str">
        <x:v>Figure 4b</x:v>
      </x:c>
      <x:c r="B4" s="15" t="str">
        <x:v>Source contrast = BRENDA-only MAE − SABIO-RK-only MAE. Substrate-role contrast = other-reactant MAE − currency/cofactor MAE.</x:v>
      </x:c>
    </x:row>
    <x:row r="5">
      <x:c r="A5" s="15" t="str">
        <x:v>Figure 4c</x:v>
      </x:c>
      <x:c r="B5" s="15" t="str">
        <x:v>Experimental-label variability and provenance audit.</x:v>
      </x:c>
    </x:row>
    <x:row r="6">
      <x:c r="A6" s="15" t="str">
        <x:v>Figure 4d</x:v>
      </x:c>
      <x:c r="B6" s="15" t="str">
        <x:v>Performance across exact / joint-near-neighbour / no-joint-neighbour strata.</x:v>
      </x:c>
    </x:row>
    <x:row r="7">
      <x:c r="A7" s="15" t="str">
        <x:v>Figure 4e</x:v>
      </x:c>
      <x:c r="B7" s="15" t="str">
        <x:v>PreTKcat sensitivity analysis.</x:v>
      </x:c>
    </x:row>
    <x:row r="8">
      <x:c r="A8" s="15" t="str">
        <x:v>Code</x:v>
      </x:c>
      <x:c r="B8" s="15" t="str">
        <x:v>plot_figure4_panels_v2.py generates each panel separately as PNG, PDF and SVG.</x:v>
      </x:c>
    </x:row>
  </x:sheetData>
  <x:pageMargins left="0.7" right="0.7" top="0.75" bottom="0.75" header="0.3" footer="0.3"/>
</x:worksheet>
</file>